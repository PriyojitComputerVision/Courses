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Plan" sheetId="1" state="visible" r:id="rId3"/>
    <sheet name="Summary" sheetId="2" state="visible" r:id="rId4"/>
  </sheets>
  <definedNames>
    <definedName function="false" hidden="true" localSheetId="0" name="_xlnm._FilterDatabase" vbProcedure="false">'Course Plan'!$A$4:$I$19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<sst xmlns="http://schemas.openxmlformats.org/spreadsheetml/2006/main" count="124" uniqueCount="112">
  <si>
    <t xml:space="preserve">3-Month AI / ML Curriculum — Weekly 2-Hour Sessions</t>
  </si>
  <si>
    <t xml:space="preserve">15 weekly sessions · 2 hours each · theory + hands-on practical every week (incl. 2 dedicated interview-prep sessions)</t>
  </si>
  <si>
    <t xml:space="preserve">Week</t>
  </si>
  <si>
    <t xml:space="preserve">Month</t>
  </si>
  <si>
    <t xml:space="preserve">Theme</t>
  </si>
  <si>
    <t xml:space="preserve">Topics Covered</t>
  </si>
  <si>
    <t xml:space="preserve">Key Subtopics</t>
  </si>
  <si>
    <t xml:space="preserve">Hands-on Practical (within the 2 hrs)</t>
  </si>
  <si>
    <t xml:space="preserve">Tools / Libraries</t>
  </si>
  <si>
    <t xml:space="preserve">Duration (hrs)</t>
  </si>
  <si>
    <t xml:space="preserve">Suggested Resources</t>
  </si>
  <si>
    <t xml:space="preserve">Month 1</t>
  </si>
  <si>
    <t xml:space="preserve">Statistics Foundations</t>
  </si>
  <si>
    <t xml:space="preserve">Important statistics basics; Hypothesis testing; P-value</t>
  </si>
  <si>
    <t xml:space="preserve">Mean/median/variance/std dev, distributions, central limit theorem, null vs alternate hypothesis, Type I/II errors, significance level, p-value interpretation</t>
  </si>
  <si>
    <t xml:space="preserve">Load a sample dataset (e.g. exam scores); compute descriptive stats; run a one-sample and two-sample t-test with scipy.stats and interpret the p-value</t>
  </si>
  <si>
    <t xml:space="preserve">Python, numpy, pandas, scipy.stats</t>
  </si>
  <si>
    <t xml:space="preserve">Khan Academy Statistics; StatQuest (Hypothesis Testing, P-values)</t>
  </si>
  <si>
    <t xml:space="preserve">A/B Testing</t>
  </si>
  <si>
    <t xml:space="preserve">A/B testing; P-value &amp; confidence intervals (applied)</t>
  </si>
  <si>
    <t xml:space="preserve">Designing an experiment, control vs treatment, sample size &amp; power, confidence intervals, common pitfalls (peeking, novelty effect)</t>
  </si>
  <si>
    <t xml:space="preserve">Simulate an A/B test on conversion-rate data; compute the test statistic, p-value and confidence interval; decide whether to ship the change</t>
  </si>
  <si>
    <t xml:space="preserve">Python, scipy.stats, statsmodels</t>
  </si>
  <si>
    <t xml:space="preserve">StatQuest (A/B Testing); Evan Miller's A/B test sample-size calculator</t>
  </si>
  <si>
    <t xml:space="preserve">Linear Regression &amp; Model Fit</t>
  </si>
  <si>
    <t xml:space="preserve">Linear regression; R2 and adjusted R2; loss functions</t>
  </si>
  <si>
    <t xml:space="preserve">Simple &amp; multiple linear regression, assumptions of linear regression, MSE/MAE/RMSE, R2 vs adjusted R2, residual analysis</t>
  </si>
  <si>
    <t xml:space="preserve">Build a linear regression model on a housing-style dataset with scikit-learn; evaluate with R2/adjusted R2/RMSE</t>
  </si>
  <si>
    <t xml:space="preserve">Python, scikit-learn, pandas, matplotlib</t>
  </si>
  <si>
    <t xml:space="preserve">StatQuest (Linear Regression, R-squared); scikit-learn docs</t>
  </si>
  <si>
    <t xml:space="preserve">Regularization &amp; Feature Selection</t>
  </si>
  <si>
    <t xml:space="preserve">Lasso, Ridge, Elastic Net; RFE; VIF</t>
  </si>
  <si>
    <t xml:space="preserve">L1 vs L2 penalty, bias-variance trade-off, elastic net mixing ratio, recursive feature elimination, multicollinearity and VIF</t>
  </si>
  <si>
    <t xml:space="preserve">Apply Ridge/Lasso/ElasticNet on a regression dataset; run RFE for feature selection; compute VIF for remaining features</t>
  </si>
  <si>
    <t xml:space="preserve">Python, scikit-learn, statsmodels</t>
  </si>
  <si>
    <t xml:space="preserve">StatQuest (Ridge/Lasso/Elastic Net); scikit-learn RFE docs</t>
  </si>
  <si>
    <t xml:space="preserve">Month 2</t>
  </si>
  <si>
    <t xml:space="preserve">Logistic Regression &amp; Optimization</t>
  </si>
  <si>
    <t xml:space="preserve">Logistic regression; gradient descent variants; loss functions (log-loss)</t>
  </si>
  <si>
    <t xml:space="preserve">Sigmoid function, decision boundary, log-loss/cross-entropy, batch/stochastic/mini-batch gradient descent, learning rate</t>
  </si>
  <si>
    <t xml:space="preserve">Build a logistic regression classifier with scikit-learn; implement gradient descent from scratch in numpy and compare convergence</t>
  </si>
  <si>
    <t xml:space="preserve">Python, numpy, scikit-learn</t>
  </si>
  <si>
    <t xml:space="preserve">StatQuest (Logistic Regression, Gradient Descent)</t>
  </si>
  <si>
    <t xml:space="preserve">Instance-Based Learning &amp; Clustering</t>
  </si>
  <si>
    <t xml:space="preserve">KNN; K-means</t>
  </si>
  <si>
    <t xml:space="preserve">Distance metrics, choosing k, curse of dimensionality, k-means algorithm, elbow method, silhouette score</t>
  </si>
  <si>
    <t xml:space="preserve">Train a KNN classifier and tune k with cross-validation; run k-means on a 2D dataset and pick k with the elbow method</t>
  </si>
  <si>
    <t xml:space="preserve">Python, scikit-learn, matplotlib</t>
  </si>
  <si>
    <t xml:space="preserve">StatQuest (KNN, K-means clustering)</t>
  </si>
  <si>
    <t xml:space="preserve">Support Vector Machines</t>
  </si>
  <si>
    <t xml:space="preserve">SVM; kernel SVM</t>
  </si>
  <si>
    <t xml:space="preserve">Maximum margin classifier, support vectors, soft margin (C parameter), kernel trick, RBF/polynomial kernels</t>
  </si>
  <si>
    <t xml:space="preserve">Train an SVM with linear and RBF kernels on a non-linearly separable dataset; visualize the decision boundary</t>
  </si>
  <si>
    <t xml:space="preserve">StatQuest (Support Vector Machines)</t>
  </si>
  <si>
    <t xml:space="preserve">Ensemble Methods</t>
  </si>
  <si>
    <t xml:space="preserve">Bagging &amp; boosting; random forest; XGBoost; AdaBoost</t>
  </si>
  <si>
    <t xml:space="preserve">Bootstrap aggregation, boosting intuition, random forest feature importance, gradient boosting, AdaBoost weight updates, XGBoost regularization</t>
  </si>
  <si>
    <t xml:space="preserve">Compare Random Forest, XGBoost and AdaBoost on the same classification dataset; compare accuracy and feature importances</t>
  </si>
  <si>
    <t xml:space="preserve">Python, scikit-learn, xgboost</t>
  </si>
  <si>
    <t xml:space="preserve">StatQuest (Random Forest, AdaBoost, Gradient Boost, XGBoost)</t>
  </si>
  <si>
    <t xml:space="preserve">Month 3</t>
  </si>
  <si>
    <t xml:space="preserve">Sequential Deep Learning</t>
  </si>
  <si>
    <t xml:space="preserve">RNN; LSTM; GRU</t>
  </si>
  <si>
    <t xml:space="preserve">Recurrence &amp; vanishing gradients, LSTM gates (forget/input/output), GRU as a simplified LSTM, sequence-to-sequence intuition</t>
  </si>
  <si>
    <t xml:space="preserve">Build a simple RNN and an LSTM for a text or time-series prediction task; compare training curves</t>
  </si>
  <si>
    <t xml:space="preserve">Python, PyTorch or TensorFlow/Keras</t>
  </si>
  <si>
    <t xml:space="preserve">colah's blog (Understanding LSTMs); StatQuest (RNN/LSTM)</t>
  </si>
  <si>
    <t xml:space="preserve">Transformers &amp; Tokenization</t>
  </si>
  <si>
    <t xml:space="preserve">Transformers (BERT, BART); tokenization; NLP basics &amp; evaluation (RoBERTa)</t>
  </si>
  <si>
    <t xml:space="preserve">Self-attention, encoder-decoder architecture, BERT pretraining objectives, BART, BPE/WordPiece/SentencePiece tokenization, NLP metrics (F1, BLEU, ROUGE), RoBERTa improvements</t>
  </si>
  <si>
    <t xml:space="preserve">Use a Hugging Face pipeline for text classification with BERT/RoBERTa; inspect tokenizer output on custom text</t>
  </si>
  <si>
    <t xml:space="preserve">Python, transformers (Hugging Face)</t>
  </si>
  <si>
    <t xml:space="preserve">'Attention Is All You Need' paper; Hugging Face course (Ch. 1-2)</t>
  </si>
  <si>
    <t xml:space="preserve">Advanced Architectures</t>
  </si>
  <si>
    <t xml:space="preserve">Bi-encoders &amp; cross-encoders; RoPE and other positional encodings; VAEs</t>
  </si>
  <si>
    <t xml:space="preserve">Bi-encoder vs cross-encoder trade-offs for semantic search/reranking, absolute vs rotary (RoPE) vs ALiBi positional encoding, variational autoencoders: encoder/decoder, reparameterization trick, KL divergence</t>
  </si>
  <si>
    <t xml:space="preserve">Compare bi-encoder vs cross-encoder similarity scoring with sentence-transformers; train a small VAE on MNIST</t>
  </si>
  <si>
    <t xml:space="preserve">Python, sentence-transformers, PyTorch</t>
  </si>
  <si>
    <t xml:space="preserve">Sentence-Transformers docs; 'RoFormer' paper (RoPE); VAE tutorial (Kingma &amp; Welling)</t>
  </si>
  <si>
    <t xml:space="preserve">LLMs &amp; Retrieval-Augmented Generation</t>
  </si>
  <si>
    <t xml:space="preserve">LLMs; chunking strategies; vector DB &amp; RAG</t>
  </si>
  <si>
    <t xml:space="preserve">LLM training stages (pretrain/SFT/RLHF), context window, fixed-size vs semantic vs recursive chunking, embeddings, vector DB indexing (HNSW), RAG pipeline design</t>
  </si>
  <si>
    <t xml:space="preserve">Build a basic RAG pipeline: chunk documents, embed and store in a vector DB (FAISS/Chroma), retrieve and answer with an LLM</t>
  </si>
  <si>
    <t xml:space="preserve">Python, FAISS or ChromaDB, an LLM API or local model</t>
  </si>
  <si>
    <t xml:space="preserve">LangChain RAG docs; 'RAG' paper (Lewis et al.)</t>
  </si>
  <si>
    <t xml:space="preserve">Agents &amp; Industrial Practice</t>
  </si>
  <si>
    <t xml:space="preserve">Chains &amp; agents; agent working &amp; eval frameworks; Pydantic classes; industrial methods of working</t>
  </si>
  <si>
    <t xml:space="preserve">Chains vs agents, tool calling, ReAct-style reasoning loops, agent evaluation (trajectory/outcome metrics), Pydantic for structured I/O and validation, version control/experiment tracking/code review norms in real ML teams</t>
  </si>
  <si>
    <t xml:space="preserve">Build a small tool-using agent (LangChain/LangGraph) with Pydantic-validated inputs/outputs; run it against a small eval set and inspect failure cases</t>
  </si>
  <si>
    <t xml:space="preserve">Python, LangChain/LangGraph, Pydantic</t>
  </si>
  <si>
    <t xml:space="preserve">LangGraph docs; Pydantic docs</t>
  </si>
  <si>
    <t xml:space="preserve">Bonus</t>
  </si>
  <si>
    <t xml:space="preserve">Interview Prep I — Stats &amp; Classical ML</t>
  </si>
  <si>
    <t xml:space="preserve">Interview preparation series (Part 1): statistics, regression &amp; classical ML</t>
  </si>
  <si>
    <t xml:space="preserve">Rapid-fire conceptual Q&amp;A on hypothesis testing, p-values, A/B testing, bias-variance trade-off, regularization (L1/L2/elastic net), VIF/RFE, loss functions, bagging vs boosting, and how to explain each clearly and concisely</t>
  </si>
  <si>
    <t xml:space="preserve">Timed mock round: answer 5 conceptual questions out loud + implement 2 algorithms from scratch (e.g. linear regression via gradient descent, k-means) without library shortcuts; self/peer-review against model answers</t>
  </si>
  <si>
    <t xml:space="preserve">Python (plain, no ML libraries for the from-scratch part), whiteboard/notebook</t>
  </si>
  <si>
    <t xml:space="preserve">StatQuest quick-review playlist; common ML interview question banks (e.g. Chip Huyen's ML Interviews Book)</t>
  </si>
  <si>
    <t xml:space="preserve">Interview Prep II — Deep Learning, NLP, LLMs &amp; System Design</t>
  </si>
  <si>
    <t xml:space="preserve">Interview preparation series (Part 2): deep learning, NLP, LLMs &amp; ML system design</t>
  </si>
  <si>
    <t xml:space="preserve">RNN/LSTM/GRU trade-offs, transformer self-attention mechanics, tokenization choices, RAG system-design walkthroughs, agent-design questions, resume/project deep-dive prep, behavioral round (STAR method)</t>
  </si>
  <si>
    <t xml:space="preserve">Full mock interview: technical Q&amp;A on Weeks 9–13 topics + a system-design question (e.g. 'design a RAG-based support chatbot') + a resume/project deep dive with structured feedback</t>
  </si>
  <si>
    <t xml:space="preserve">Whiteboard or diagramming tool, notes from Weeks 9–13</t>
  </si>
  <si>
    <t xml:space="preserve">Chip Huyen's 'Designing Machine Learning Systems'; Hugging Face course; company-specific ML interview question banks</t>
  </si>
  <si>
    <t xml:space="preserve">Total course hours:</t>
  </si>
  <si>
    <t xml:space="preserve">Course Summary</t>
  </si>
  <si>
    <t xml:space="preserve">Total weeks</t>
  </si>
  <si>
    <t xml:space="preserve">Hours per week</t>
  </si>
  <si>
    <t xml:space="preserve">Total course hours</t>
  </si>
  <si>
    <t xml:space="preserve">Duration</t>
  </si>
  <si>
    <t xml:space="preserve">~3.5 months (15 weeks, incl. 2 interview-prep sessions)</t>
  </si>
  <si>
    <t xml:space="preserve">Note: each week's 2 hours are meant to include a short theory recap plus the listed hands-on practical. Weeks 14–15 are dedicated interview-prep sessions; adjust pace to 1 topic/week earlier on if more depth is needed.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</si>
</sst>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78" hidden="false" customHeight="true" outlineLevel="0" collapsed="false">
      <c r="A5" s="4" t="n">
        <v>1</v>
      </c>
      <c r="B5" s="4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4" t="n">
        <v>2</v>
      </c>
      <c r="I5" s="5" t="s">
        <v>17</v>
      </c>
    </row>
    <row r="6" customFormat="false" ht="78" hidden="false" customHeight="true" outlineLevel="0" collapsed="false">
      <c r="A6" s="6" t="n">
        <v>2</v>
      </c>
      <c r="B6" s="6" t="s">
        <v>11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6" t="n">
        <v>2</v>
      </c>
      <c r="I6" s="7" t="s">
        <v>23</v>
      </c>
    </row>
    <row r="7" customFormat="false" ht="78" hidden="false" customHeight="true" outlineLevel="0" collapsed="false">
      <c r="A7" s="4" t="n">
        <v>3</v>
      </c>
      <c r="B7" s="4" t="s">
        <v>11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4" t="n">
        <v>2</v>
      </c>
      <c r="I7" s="5" t="s">
        <v>29</v>
      </c>
    </row>
    <row r="8" customFormat="false" ht="78" hidden="false" customHeight="true" outlineLevel="0" collapsed="false">
      <c r="A8" s="6" t="n">
        <v>4</v>
      </c>
      <c r="B8" s="6" t="s">
        <v>11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6" t="n">
        <v>2</v>
      </c>
      <c r="I8" s="7" t="s">
        <v>35</v>
      </c>
    </row>
    <row r="9" customFormat="false" ht="78" hidden="false" customHeight="true" outlineLevel="0" collapsed="false">
      <c r="A9" s="4" t="n">
        <v>5</v>
      </c>
      <c r="B9" s="4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41</v>
      </c>
      <c r="H9" s="4" t="n">
        <v>2</v>
      </c>
      <c r="I9" s="5" t="s">
        <v>42</v>
      </c>
    </row>
    <row r="10" customFormat="false" ht="78" hidden="false" customHeight="true" outlineLevel="0" collapsed="false">
      <c r="A10" s="6" t="n">
        <v>6</v>
      </c>
      <c r="B10" s="6" t="s">
        <v>36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47</v>
      </c>
      <c r="H10" s="6" t="n">
        <v>2</v>
      </c>
      <c r="I10" s="7" t="s">
        <v>48</v>
      </c>
    </row>
    <row r="11" customFormat="false" ht="78" hidden="false" customHeight="true" outlineLevel="0" collapsed="false">
      <c r="A11" s="4" t="n">
        <v>7</v>
      </c>
      <c r="B11" s="4" t="s">
        <v>36</v>
      </c>
      <c r="C11" s="5" t="s">
        <v>49</v>
      </c>
      <c r="D11" s="5" t="s">
        <v>50</v>
      </c>
      <c r="E11" s="5" t="s">
        <v>51</v>
      </c>
      <c r="F11" s="5" t="s">
        <v>52</v>
      </c>
      <c r="G11" s="5" t="s">
        <v>47</v>
      </c>
      <c r="H11" s="4" t="n">
        <v>2</v>
      </c>
      <c r="I11" s="5" t="s">
        <v>53</v>
      </c>
    </row>
    <row r="12" customFormat="false" ht="78" hidden="false" customHeight="true" outlineLevel="0" collapsed="false">
      <c r="A12" s="6" t="n">
        <v>8</v>
      </c>
      <c r="B12" s="6" t="s">
        <v>36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58</v>
      </c>
      <c r="H12" s="6" t="n">
        <v>2</v>
      </c>
      <c r="I12" s="7" t="s">
        <v>59</v>
      </c>
    </row>
    <row r="13" customFormat="false" ht="78" hidden="false" customHeight="true" outlineLevel="0" collapsed="false">
      <c r="A13" s="4" t="n">
        <v>9</v>
      </c>
      <c r="B13" s="4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4" t="n">
        <v>2</v>
      </c>
      <c r="I13" s="5" t="s">
        <v>66</v>
      </c>
    </row>
    <row r="14" customFormat="false" ht="78" hidden="false" customHeight="true" outlineLevel="0" collapsed="false">
      <c r="A14" s="6" t="n">
        <v>10</v>
      </c>
      <c r="B14" s="6" t="s">
        <v>60</v>
      </c>
      <c r="C14" s="7" t="s">
        <v>67</v>
      </c>
      <c r="D14" s="7" t="s">
        <v>68</v>
      </c>
      <c r="E14" s="7" t="s">
        <v>69</v>
      </c>
      <c r="F14" s="7" t="s">
        <v>70</v>
      </c>
      <c r="G14" s="7" t="s">
        <v>71</v>
      </c>
      <c r="H14" s="6" t="n">
        <v>2</v>
      </c>
      <c r="I14" s="7" t="s">
        <v>72</v>
      </c>
    </row>
    <row r="15" customFormat="false" ht="78" hidden="false" customHeight="true" outlineLevel="0" collapsed="false">
      <c r="A15" s="4" t="n">
        <v>11</v>
      </c>
      <c r="B15" s="4" t="s">
        <v>60</v>
      </c>
      <c r="C15" s="5" t="s">
        <v>73</v>
      </c>
      <c r="D15" s="5" t="s">
        <v>74</v>
      </c>
      <c r="E15" s="5" t="s">
        <v>75</v>
      </c>
      <c r="F15" s="5" t="s">
        <v>76</v>
      </c>
      <c r="G15" s="5" t="s">
        <v>77</v>
      </c>
      <c r="H15" s="4" t="n">
        <v>2</v>
      </c>
      <c r="I15" s="5" t="s">
        <v>78</v>
      </c>
    </row>
    <row r="16" customFormat="false" ht="78" hidden="false" customHeight="true" outlineLevel="0" collapsed="false">
      <c r="A16" s="6" t="n">
        <v>12</v>
      </c>
      <c r="B16" s="6" t="s">
        <v>60</v>
      </c>
      <c r="C16" s="7" t="s">
        <v>79</v>
      </c>
      <c r="D16" s="7" t="s">
        <v>80</v>
      </c>
      <c r="E16" s="7" t="s">
        <v>81</v>
      </c>
      <c r="F16" s="7" t="s">
        <v>82</v>
      </c>
      <c r="G16" s="7" t="s">
        <v>83</v>
      </c>
      <c r="H16" s="6" t="n">
        <v>2</v>
      </c>
      <c r="I16" s="7" t="s">
        <v>84</v>
      </c>
    </row>
    <row r="17" customFormat="false" ht="78" hidden="false" customHeight="true" outlineLevel="0" collapsed="false">
      <c r="A17" s="4" t="n">
        <v>13</v>
      </c>
      <c r="B17" s="4" t="s">
        <v>60</v>
      </c>
      <c r="C17" s="5" t="s">
        <v>85</v>
      </c>
      <c r="D17" s="5" t="s">
        <v>86</v>
      </c>
      <c r="E17" s="5" t="s">
        <v>87</v>
      </c>
      <c r="F17" s="5" t="s">
        <v>88</v>
      </c>
      <c r="G17" s="5" t="s">
        <v>89</v>
      </c>
      <c r="H17" s="4" t="n">
        <v>2</v>
      </c>
      <c r="I17" s="5" t="s">
        <v>90</v>
      </c>
    </row>
    <row r="18" customFormat="false" ht="78" hidden="false" customHeight="true" outlineLevel="0" collapsed="false">
      <c r="A18" s="6" t="n">
        <v>14</v>
      </c>
      <c r="B18" s="6" t="s">
        <v>91</v>
      </c>
      <c r="C18" s="7" t="s">
        <v>92</v>
      </c>
      <c r="D18" s="7" t="s">
        <v>93</v>
      </c>
      <c r="E18" s="7" t="s">
        <v>94</v>
      </c>
      <c r="F18" s="7" t="s">
        <v>95</v>
      </c>
      <c r="G18" s="7" t="s">
        <v>96</v>
      </c>
      <c r="H18" s="6" t="n">
        <v>2</v>
      </c>
      <c r="I18" s="7" t="s">
        <v>97</v>
      </c>
    </row>
    <row r="19" customFormat="false" ht="78" hidden="false" customHeight="true" outlineLevel="0" collapsed="false">
      <c r="A19" s="4" t="n">
        <v>15</v>
      </c>
      <c r="B19" s="4" t="s">
        <v>91</v>
      </c>
      <c r="C19" s="5" t="s">
        <v>98</v>
      </c>
      <c r="D19" s="5" t="s">
        <v>99</v>
      </c>
      <c r="E19" s="5" t="s">
        <v>100</v>
      </c>
      <c r="F19" s="5" t="s">
        <v>101</v>
      </c>
      <c r="G19" s="5" t="s">
        <v>102</v>
      </c>
      <c r="H19" s="4" t="n">
        <v>2</v>
      </c>
      <c r="I19" s="5" t="s">
        <v>103</v>
      </c>
    </row>
    <row r="21" customFormat="false" ht="15" hidden="false" customHeight="false" outlineLevel="0" collapsed="false">
      <c r="G21" s="8" t="s">
        <v>104</v>
      </c>
      <c r="H21" s="9" t="n">
        <f aca="false">SUM(H5:H19)</f>
        <v>30</v>
      </c>
    </row>
  </sheetData>
  <autoFilter ref="A4:I1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</cols>
  <sheetData>
    <row r="1" customFormat="false" ht="19.7" hidden="false" customHeight="false" outlineLevel="0" collapsed="false">
      <c r="A1" s="1" t="s">
        <v>105</v>
      </c>
      <c r="B1" s="1"/>
    </row>
    <row r="3" customFormat="false" ht="15" hidden="false" customHeight="false" outlineLevel="0" collapsed="false">
      <c r="A3" s="10" t="s">
        <v>106</v>
      </c>
      <c r="B3" s="4" t="n">
        <f aca="false">COUNTA('Course Plan'!A5:A19)</f>
        <v>15</v>
      </c>
    </row>
    <row r="4" customFormat="false" ht="15" hidden="false" customHeight="false" outlineLevel="0" collapsed="false">
      <c r="A4" s="10" t="s">
        <v>107</v>
      </c>
      <c r="B4" s="4" t="n">
        <v>2</v>
      </c>
    </row>
    <row r="5" customFormat="false" ht="15" hidden="false" customHeight="false" outlineLevel="0" collapsed="false">
      <c r="A5" s="10" t="s">
        <v>108</v>
      </c>
      <c r="B5" s="4" t="n">
        <f aca="false">'Course Plan'!H21</f>
        <v>30</v>
      </c>
    </row>
    <row r="6" customFormat="false" ht="23.85" hidden="false" customHeight="false" outlineLevel="0" collapsed="false">
      <c r="A6" s="10" t="s">
        <v>109</v>
      </c>
      <c r="B6" s="4" t="s">
        <v>110</v>
      </c>
    </row>
    <row r="9" customFormat="false" ht="45" hidden="false" customHeight="true" outlineLevel="0" collapsed="false">
      <c r="A9" s="11" t="s">
        <v>111</v>
      </c>
      <c r="B9" s="11"/>
    </row>
  </sheetData>
  <mergeCells count="2">
    <mergeCell ref="A1:B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2026-09-21T09:08:43Z</dcterms:created>
  <dc:creator>openpyxl</dc:creator>
  <dc:description/>
  <dc:language>en-US</dc:language>
  <cp:lastModifiedBy/>
  <dcterms:modified xsi:type="dcterms:W3CDTF">2026-09-21T09:08:43Z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